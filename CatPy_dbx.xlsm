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hava\Dropbox\Python\Catenary\CatPy\"/>
    </mc:Choice>
  </mc:AlternateContent>
  <xr:revisionPtr revIDLastSave="0" documentId="13_ncr:1_{51A7113C-F8FD-4377-880E-690A43A4EB35}" xr6:coauthVersionLast="46" xr6:coauthVersionMax="46" xr10:uidLastSave="{00000000-0000-0000-0000-000000000000}"/>
  <bookViews>
    <workbookView xWindow="1695" yWindow="600" windowWidth="16020" windowHeight="9615" tabRatio="500" xr2:uid="{00000000-000D-0000-FFFF-FFFF00000000}"/>
  </bookViews>
  <sheets>
    <sheet name="Master" sheetId="1" r:id="rId1"/>
    <sheet name="catenary_res" sheetId="2" r:id="rId2"/>
    <sheet name="catenary_coords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5" i="1" l="1"/>
  <c r="T14" i="1" l="1"/>
  <c r="T16" i="1"/>
  <c r="T17" i="1"/>
  <c r="T18" i="1" l="1"/>
  <c r="T19" i="1" l="1"/>
  <c r="G22" i="1" l="1"/>
</calcChain>
</file>

<file path=xl/sharedStrings.xml><?xml version="1.0" encoding="utf-8"?>
<sst xmlns="http://schemas.openxmlformats.org/spreadsheetml/2006/main" count="64" uniqueCount="61">
  <si>
    <t>Elevation of higher support from reference plane [m]:</t>
  </si>
  <si>
    <t xml:space="preserve">Horizontal tension in kg (constant along line: </t>
  </si>
  <si>
    <t xml:space="preserve">Vertical tension in A in kg: </t>
  </si>
  <si>
    <t xml:space="preserve">Total tension in A in kg: </t>
  </si>
  <si>
    <t xml:space="preserve">Total tension in B in kg: </t>
  </si>
  <si>
    <t xml:space="preserve">Inclination angle from vertical at A in degrees: </t>
  </si>
  <si>
    <t xml:space="preserve">Inclination angle from vertical at B in degrees: </t>
  </si>
  <si>
    <t xml:space="preserve">Catenary coef.: </t>
  </si>
  <si>
    <t>Master</t>
  </si>
  <si>
    <t>H arch :</t>
  </si>
  <si>
    <t>H hang off :</t>
  </si>
  <si>
    <t>d upper :</t>
  </si>
  <si>
    <t>d FPSO :</t>
  </si>
  <si>
    <t>d model end :</t>
  </si>
  <si>
    <t>metre</t>
  </si>
  <si>
    <t>MSL :</t>
  </si>
  <si>
    <t>Arch radius :</t>
  </si>
  <si>
    <t>Clamp slot :</t>
  </si>
  <si>
    <t>ARCH INPUT</t>
  </si>
  <si>
    <t>SYSTEM INPUT</t>
  </si>
  <si>
    <t>Arch width :</t>
  </si>
  <si>
    <t>Arch Length:</t>
  </si>
  <si>
    <t>ARCH</t>
  </si>
  <si>
    <t>CATENARY</t>
  </si>
  <si>
    <t>Name</t>
  </si>
  <si>
    <t>Unit weight</t>
  </si>
  <si>
    <t>Diam</t>
  </si>
  <si>
    <t>Siffness</t>
  </si>
  <si>
    <t>Folder path</t>
  </si>
  <si>
    <t>sheet name</t>
  </si>
  <si>
    <t>Excel file name</t>
  </si>
  <si>
    <t>X-coordinate [m]</t>
  </si>
  <si>
    <t>Y-coordinate [m]</t>
  </si>
  <si>
    <t>Z-coordinate [m]</t>
  </si>
  <si>
    <t>Y-coord</t>
  </si>
  <si>
    <t>FPSO INPUT</t>
  </si>
  <si>
    <t>W :</t>
  </si>
  <si>
    <t>L :</t>
  </si>
  <si>
    <t>Xcog :</t>
  </si>
  <si>
    <t>Ycog :</t>
  </si>
  <si>
    <t>Zcog :</t>
  </si>
  <si>
    <t>Zcr :</t>
  </si>
  <si>
    <t>Yhg :</t>
  </si>
  <si>
    <t>Production riser A</t>
  </si>
  <si>
    <t>Upper</t>
  </si>
  <si>
    <t>Lower</t>
  </si>
  <si>
    <t>Horizontal Distance  lower catenary [m]:</t>
  </si>
  <si>
    <t>Vertical Distance  lower catenary [m]:</t>
  </si>
  <si>
    <t>Horizontal Distance upper catenary [m]:</t>
  </si>
  <si>
    <t>Soil Friction Cb :</t>
  </si>
  <si>
    <t>MSL [m] :</t>
  </si>
  <si>
    <t>kg/m</t>
  </si>
  <si>
    <t>m</t>
  </si>
  <si>
    <t>Riser Length [m]</t>
  </si>
  <si>
    <t>Axial [MN]</t>
  </si>
  <si>
    <t>Bending [kN/m2]</t>
  </si>
  <si>
    <t>arch</t>
  </si>
  <si>
    <t>Riser Type :</t>
  </si>
  <si>
    <t>Vertical Distance catenary hang off  [m]:</t>
  </si>
  <si>
    <t>C:\Users\Chava\Dropbox\Python\Catenary\CatPy</t>
  </si>
  <si>
    <t>CatPy_dbx.xlsm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</si>
</sst>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</numFmts>
  <fonts count="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/>
    <xf numFmtId="2" fontId="1" fillId="2" borderId="0" xfId="0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0" fontId="1" fillId="0" borderId="0" xfId="0" applyFont="1"/>
    <xf numFmtId="0" fontId="1" fillId="2" borderId="0" xfId="0" applyNumberFormat="1" applyFont="1" applyFill="1" applyAlignment="1">
      <alignment horizontal="center"/>
    </xf>
    <xf numFmtId="11" fontId="0" fillId="0" borderId="0" xfId="0" applyNumberFormat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438150</xdr:colOff>
      <xdr:row>10</xdr:row>
      <xdr:rowOff>28575</xdr:rowOff>
    </xdr:from>
    <xdr:to>
      <xdr:col>6</xdr:col>
      <xdr:colOff>619125</xdr:colOff>
      <xdr:row>13</xdr:row>
      <xdr:rowOff>133350</xdr:rowOff>
    </xdr:to>
    <xdr:sp macro="[0]!TextBox1_Click" textlink="">
      <xdr:nvSpPr>
        <xdr:cNvPr id="2" name="TextBox 1">
          <a:extLst>
            <a:ext uri="{FF2B5EF4-FFF2-40B4-BE49-F238E27FC236}">
              <a16:creationId xmlns:a16="http://schemas.microsoft.com/office/drawing/2014/main" id="{F71967AF-CF54-4FF3-8E35-1AAE56CB4184}"/>
            </a:ext>
          </a:extLst>
        </xdr:cNvPr>
        <xdr:cNvSpPr txBox="1"/>
      </xdr:nvSpPr>
      <xdr:spPr>
        <a:xfrm>
          <a:off x="4629150" y="2028825"/>
          <a:ext cx="1476375" cy="704850"/>
        </a:xfrm>
        <a:prstGeom prst="rect">
          <a:avLst/>
        </a:prstGeom>
        <a:solidFill>
          <a:srgbClr val="00B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/>
            <a:t>Run</a:t>
          </a:r>
        </a:p>
      </xdr:txBody>
    </xdr:sp>
    <xdr:clientData/>
  </xdr:twoCellAnchor>
  <xdr:twoCellAnchor editAs="oneCell">
    <xdr:from>
      <xdr:col>0</xdr:col>
      <xdr:colOff>47625</xdr:colOff>
      <xdr:row>0</xdr:row>
      <xdr:rowOff>152400</xdr:rowOff>
    </xdr:from>
    <xdr:to>
      <xdr:col>5</xdr:col>
      <xdr:colOff>0</xdr:colOff>
      <xdr:row>13</xdr:row>
      <xdr:rowOff>188190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7FB71F1-B262-460F-99BC-B2F76A5A2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" y="152400"/>
          <a:ext cx="4143375" cy="2636115"/>
        </a:xfrm>
        <a:prstGeom prst="rect">
          <a:avLst/>
        </a:prstGeom>
      </xdr:spPr>
    </xdr:pic>
    <xdr:clientData/>
  </xdr:twoCellAnchor>
  <xdr:twoCellAnchor editAs="oneCell">
    <xdr:from>
      <xdr:col>8</xdr:col>
      <xdr:colOff>50007</xdr:colOff>
      <xdr:row>1</xdr:row>
      <xdr:rowOff>57150</xdr:rowOff>
    </xdr:from>
    <xdr:to>
      <xdr:col>12</xdr:col>
      <xdr:colOff>502187</xdr:colOff>
      <xdr:row>12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F562AA0-A9C0-407C-A795-866B25A7D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74682" y="257175"/>
          <a:ext cx="4452680" cy="2200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47626</xdr:rowOff>
    </xdr:from>
    <xdr:to>
      <xdr:col>4</xdr:col>
      <xdr:colOff>214982</xdr:colOff>
      <xdr:row>36</xdr:row>
      <xdr:rowOff>180976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21CAEB9-DDB7-4410-887E-9A9E16D10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48026"/>
          <a:ext cx="3567782" cy="4133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2"/>
  <sheetViews>
    <sheetView tabSelected="1" topLeftCell="J1" zoomScaleNormal="100" workbookViewId="0">
      <selection activeCell="T3" sqref="T3"/>
    </sheetView>
  </sheetViews>
  <sheetFormatPr defaultColWidth="11" defaultRowHeight="15.75" x14ac:dyDescent="0.25"/>
  <cols>
    <col min="5" max="5" width="11" customWidth="1"/>
    <col min="6" max="6" width="13.875" customWidth="1"/>
    <col min="7" max="7" width="11" customWidth="1"/>
    <col min="9" max="9" width="30.625" customWidth="1"/>
    <col min="10" max="10" width="6.375" bestFit="1" customWidth="1"/>
    <col min="11" max="11" width="6.375" customWidth="1"/>
    <col min="12" max="12" width="9.125" customWidth="1"/>
    <col min="13" max="13" width="6.875" bestFit="1" customWidth="1"/>
    <col min="14" max="14" width="10.5" bestFit="1" customWidth="1"/>
    <col min="15" max="15" width="7.5" bestFit="1" customWidth="1"/>
    <col min="16" max="16" width="7" bestFit="1" customWidth="1"/>
    <col min="17" max="17" width="7.625" customWidth="1"/>
    <col min="19" max="19" width="45" bestFit="1" customWidth="1"/>
  </cols>
  <sheetData>
    <row r="1" spans="6:20" x14ac:dyDescent="0.25">
      <c r="S1" t="s">
        <v>28</v>
      </c>
      <c r="T1" t="s">
        <v>59</v>
      </c>
    </row>
    <row r="2" spans="6:20" x14ac:dyDescent="0.25">
      <c r="F2" s="1" t="s">
        <v>19</v>
      </c>
      <c r="G2" s="1" t="s">
        <v>14</v>
      </c>
      <c r="N2" t="s">
        <v>35</v>
      </c>
      <c r="S2" t="s">
        <v>30</v>
      </c>
      <c r="T2" t="s">
        <v>60</v>
      </c>
    </row>
    <row r="3" spans="6:20" x14ac:dyDescent="0.25">
      <c r="F3" s="2" t="s">
        <v>15</v>
      </c>
      <c r="G3" s="4">
        <v>118</v>
      </c>
      <c r="N3" s="2" t="s">
        <v>37</v>
      </c>
      <c r="O3" s="4"/>
      <c r="S3" t="s">
        <v>29</v>
      </c>
      <c r="T3" t="s">
        <v>8</v>
      </c>
    </row>
    <row r="4" spans="6:20" x14ac:dyDescent="0.25">
      <c r="F4" s="2" t="s">
        <v>9</v>
      </c>
      <c r="G4" s="4">
        <v>60</v>
      </c>
      <c r="N4" s="2" t="s">
        <v>36</v>
      </c>
      <c r="O4" s="4"/>
    </row>
    <row r="5" spans="6:20" x14ac:dyDescent="0.25">
      <c r="F5" s="2" t="s">
        <v>10</v>
      </c>
      <c r="G5" s="4">
        <v>120</v>
      </c>
      <c r="N5" s="2" t="s">
        <v>38</v>
      </c>
      <c r="O5" s="4"/>
    </row>
    <row r="6" spans="6:20" x14ac:dyDescent="0.25">
      <c r="F6" s="2" t="s">
        <v>11</v>
      </c>
      <c r="G6" s="4">
        <v>90</v>
      </c>
      <c r="N6" s="2" t="s">
        <v>39</v>
      </c>
      <c r="O6" s="4"/>
    </row>
    <row r="7" spans="6:20" x14ac:dyDescent="0.25">
      <c r="F7" s="2" t="s">
        <v>12</v>
      </c>
      <c r="G7" s="4">
        <v>120</v>
      </c>
      <c r="N7" s="2" t="s">
        <v>40</v>
      </c>
      <c r="O7" s="4"/>
    </row>
    <row r="8" spans="6:20" x14ac:dyDescent="0.25">
      <c r="F8" s="2" t="s">
        <v>13</v>
      </c>
      <c r="G8" s="4">
        <v>140</v>
      </c>
      <c r="N8" s="2" t="s">
        <v>42</v>
      </c>
      <c r="O8" s="4"/>
    </row>
    <row r="9" spans="6:20" x14ac:dyDescent="0.25">
      <c r="N9" s="2" t="s">
        <v>41</v>
      </c>
      <c r="O9" s="4"/>
    </row>
    <row r="11" spans="6:20" x14ac:dyDescent="0.25">
      <c r="M11" s="2"/>
    </row>
    <row r="12" spans="6:20" x14ac:dyDescent="0.25">
      <c r="M12" s="2"/>
    </row>
    <row r="14" spans="6:20" x14ac:dyDescent="0.25">
      <c r="S14" s="2" t="s">
        <v>48</v>
      </c>
      <c r="T14" s="3">
        <f>G6</f>
        <v>90</v>
      </c>
    </row>
    <row r="15" spans="6:20" x14ac:dyDescent="0.25">
      <c r="S15" s="2" t="s">
        <v>58</v>
      </c>
      <c r="T15" s="3">
        <f>G5</f>
        <v>120</v>
      </c>
    </row>
    <row r="16" spans="6:20" x14ac:dyDescent="0.25">
      <c r="S16" s="2" t="s">
        <v>46</v>
      </c>
      <c r="T16" s="3">
        <f>G8</f>
        <v>140</v>
      </c>
    </row>
    <row r="17" spans="1:20" x14ac:dyDescent="0.25">
      <c r="S17" s="2" t="s">
        <v>47</v>
      </c>
      <c r="T17" s="3">
        <f>G4</f>
        <v>60</v>
      </c>
    </row>
    <row r="18" spans="1:20" x14ac:dyDescent="0.25">
      <c r="A18" t="s">
        <v>22</v>
      </c>
      <c r="S18" s="2" t="s">
        <v>0</v>
      </c>
      <c r="T18" s="3">
        <f>G5</f>
        <v>120</v>
      </c>
    </row>
    <row r="19" spans="1:20" x14ac:dyDescent="0.25">
      <c r="F19" s="1" t="s">
        <v>18</v>
      </c>
      <c r="G19" s="1" t="s">
        <v>14</v>
      </c>
      <c r="I19" t="s">
        <v>23</v>
      </c>
      <c r="S19" s="2" t="s">
        <v>50</v>
      </c>
      <c r="T19" s="3">
        <f>G3</f>
        <v>118</v>
      </c>
    </row>
    <row r="20" spans="1:20" x14ac:dyDescent="0.25">
      <c r="F20" s="2" t="s">
        <v>16</v>
      </c>
      <c r="G20" s="4">
        <v>8.1999999999999993</v>
      </c>
      <c r="J20" t="s">
        <v>53</v>
      </c>
      <c r="L20" t="s">
        <v>25</v>
      </c>
      <c r="M20" s="1" t="s">
        <v>26</v>
      </c>
      <c r="N20" t="s">
        <v>27</v>
      </c>
      <c r="P20" s="1" t="s">
        <v>34</v>
      </c>
      <c r="S20" s="2" t="s">
        <v>49</v>
      </c>
      <c r="T20">
        <v>1</v>
      </c>
    </row>
    <row r="21" spans="1:20" x14ac:dyDescent="0.25">
      <c r="F21" s="2" t="s">
        <v>17</v>
      </c>
      <c r="G21" s="4">
        <v>4</v>
      </c>
      <c r="I21" t="s">
        <v>24</v>
      </c>
      <c r="J21" s="1" t="s">
        <v>44</v>
      </c>
      <c r="K21" s="1" t="s">
        <v>45</v>
      </c>
      <c r="L21" s="1" t="s">
        <v>51</v>
      </c>
      <c r="M21" s="1" t="s">
        <v>52</v>
      </c>
      <c r="N21" s="1" t="s">
        <v>54</v>
      </c>
      <c r="O21" s="1" t="s">
        <v>55</v>
      </c>
      <c r="P21" s="1" t="s">
        <v>52</v>
      </c>
      <c r="S21" s="2" t="s">
        <v>57</v>
      </c>
      <c r="T21" s="2" t="s">
        <v>56</v>
      </c>
    </row>
    <row r="22" spans="1:20" x14ac:dyDescent="0.25">
      <c r="F22" s="2" t="s">
        <v>20</v>
      </c>
      <c r="G22" s="5">
        <f>2*G20+G21</f>
        <v>20.399999999999999</v>
      </c>
      <c r="I22" s="7" t="s">
        <v>43</v>
      </c>
      <c r="J22" s="7">
        <v>160</v>
      </c>
      <c r="K22" s="7">
        <v>176</v>
      </c>
      <c r="L22" s="7">
        <v>20</v>
      </c>
      <c r="M22" s="7">
        <v>0.31059999999999999</v>
      </c>
      <c r="N22" s="7">
        <v>860</v>
      </c>
      <c r="O22" s="7">
        <v>510</v>
      </c>
      <c r="P22" s="4">
        <v>0</v>
      </c>
      <c r="Q22" s="1"/>
      <c r="S22" s="2"/>
      <c r="T22" s="3"/>
    </row>
    <row r="23" spans="1:20" x14ac:dyDescent="0.25">
      <c r="F23" s="2" t="s">
        <v>21</v>
      </c>
      <c r="G23" s="6"/>
    </row>
    <row r="25" spans="1:20" x14ac:dyDescent="0.25">
      <c r="T25" s="8"/>
    </row>
    <row r="29" spans="1:20" x14ac:dyDescent="0.25">
      <c r="R29" s="1"/>
    </row>
    <row r="31" spans="1:20" x14ac:dyDescent="0.25">
      <c r="Q31" s="1"/>
      <c r="R31" s="1"/>
    </row>
    <row r="32" spans="1:20" x14ac:dyDescent="0.25">
      <c r="Q32" s="1"/>
      <c r="R32" s="1"/>
    </row>
  </sheetData>
  <pageMargins left="0.25" right="0.25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796D8-6086-4905-92F2-929D97804E59}">
  <sheetPr codeName="Sheet2"/>
  <dimension ref="A5:B13"/>
  <sheetViews>
    <sheetView workbookViewId="0">
      <selection activeCell="F11" sqref="F11"/>
    </sheetView>
  </sheetViews>
  <sheetFormatPr defaultRowHeight="15.75" x14ac:dyDescent="0.25"/>
  <cols>
    <col min="1" max="1" width="53.5" bestFit="1" customWidth="1"/>
  </cols>
  <sheetData>
    <row r="5" spans="1:2" x14ac:dyDescent="0.25">
      <c r="A5" t="s">
        <v>7</v>
      </c>
      <c r="B5">
        <v>22.926189999999998</v>
      </c>
    </row>
    <row r="6" spans="1:2" x14ac:dyDescent="0.25">
      <c r="A6" t="s">
        <v>1</v>
      </c>
      <c r="B6">
        <v>458.524</v>
      </c>
    </row>
    <row r="7" spans="1:2" x14ac:dyDescent="0.25">
      <c r="A7" t="s">
        <v>2</v>
      </c>
      <c r="B7">
        <v>3067.5329999999999</v>
      </c>
    </row>
    <row r="8" spans="1:2" x14ac:dyDescent="0.25">
      <c r="A8" t="s">
        <v>3</v>
      </c>
      <c r="B8">
        <v>3101.6129999999998</v>
      </c>
    </row>
    <row r="9" spans="1:2" x14ac:dyDescent="0.25">
      <c r="A9" t="s">
        <v>4</v>
      </c>
      <c r="B9">
        <v>924.53700000000003</v>
      </c>
    </row>
    <row r="12" spans="1:2" x14ac:dyDescent="0.25">
      <c r="A12" t="s">
        <v>5</v>
      </c>
      <c r="B12">
        <v>8.5009999999999994</v>
      </c>
    </row>
    <row r="13" spans="1:2" x14ac:dyDescent="0.25">
      <c r="A13" t="s">
        <v>6</v>
      </c>
      <c r="B13">
        <v>8.5009999999999994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F0163-5382-4A7F-8A83-CC877221BCE4}">
  <sheetPr codeName="Sheet3"/>
  <dimension ref="A1:C102"/>
  <sheetViews>
    <sheetView workbookViewId="0">
      <selection activeCell="E7" sqref="E7"/>
    </sheetView>
  </sheetViews>
  <sheetFormatPr defaultRowHeight="15.75" x14ac:dyDescent="0.25"/>
  <cols>
    <col min="1" max="3" width="14.5" bestFit="1" customWidth="1"/>
  </cols>
  <sheetData>
    <row r="1" spans="1:3" x14ac:dyDescent="0.25">
      <c r="A1" t="s">
        <v>43</v>
      </c>
    </row>
    <row r="2" spans="1:3" x14ac:dyDescent="0.25">
      <c r="A2" t="s">
        <v>31</v>
      </c>
      <c r="B2" t="s">
        <v>32</v>
      </c>
      <c r="C2" t="s">
        <v>33</v>
      </c>
    </row>
    <row r="3" spans="1:3" x14ac:dyDescent="0.25">
      <c r="A3">
        <v>59.59212778000127</v>
      </c>
      <c r="B3">
        <v>0</v>
      </c>
      <c r="C3">
        <v>37.080639481490152</v>
      </c>
    </row>
    <row r="4" spans="1:3" x14ac:dyDescent="0.25">
      <c r="A4">
        <v>-28.607872219998733</v>
      </c>
      <c r="B4">
        <v>0</v>
      </c>
      <c r="C4">
        <v>-74.78541341345489</v>
      </c>
    </row>
    <row r="5" spans="1:3" x14ac:dyDescent="0.25">
      <c r="A5">
        <v>-27.707872219998734</v>
      </c>
      <c r="B5">
        <v>0</v>
      </c>
      <c r="C5">
        <v>-76.190513996511925</v>
      </c>
    </row>
    <row r="6" spans="1:3" x14ac:dyDescent="0.25">
      <c r="A6">
        <v>-26.807872219998735</v>
      </c>
      <c r="B6">
        <v>0</v>
      </c>
      <c r="C6">
        <v>-77.531175138127452</v>
      </c>
    </row>
    <row r="7" spans="1:3" x14ac:dyDescent="0.25">
      <c r="A7">
        <v>-25.907872219998737</v>
      </c>
      <c r="B7">
        <v>0</v>
      </c>
      <c r="C7">
        <v>-78.809463150600067</v>
      </c>
    </row>
    <row r="8" spans="1:3" x14ac:dyDescent="0.25">
      <c r="A8">
        <v>-25.007872219998738</v>
      </c>
      <c r="B8">
        <v>0</v>
      </c>
      <c r="C8">
        <v>-80.027348212791054</v>
      </c>
    </row>
    <row r="9" spans="1:3" x14ac:dyDescent="0.25">
      <c r="A9">
        <v>-24.10787221999874</v>
      </c>
      <c r="B9">
        <v>0</v>
      </c>
      <c r="C9">
        <v>-81.186707406689465</v>
      </c>
    </row>
    <row r="10" spans="1:3" x14ac:dyDescent="0.25">
      <c r="A10">
        <v>-23.207872219998741</v>
      </c>
      <c r="B10">
        <v>0</v>
      </c>
      <c r="C10">
        <v>-82.289327610490318</v>
      </c>
    </row>
    <row r="11" spans="1:3" x14ac:dyDescent="0.25">
      <c r="A11">
        <v>-22.307872219998742</v>
      </c>
      <c r="B11">
        <v>0</v>
      </c>
      <c r="C11">
        <v>-83.33690825264506</v>
      </c>
    </row>
    <row r="12" spans="1:3" x14ac:dyDescent="0.25">
      <c r="A12">
        <v>-21.407872219998744</v>
      </c>
      <c r="B12">
        <v>0</v>
      </c>
      <c r="C12">
        <v>-84.331063931128895</v>
      </c>
    </row>
    <row r="13" spans="1:3" x14ac:dyDescent="0.25">
      <c r="A13">
        <v>-20.507872219998745</v>
      </c>
      <c r="B13">
        <v>0</v>
      </c>
      <c r="C13">
        <v>-85.273326901961937</v>
      </c>
    </row>
    <row r="14" spans="1:3" x14ac:dyDescent="0.25">
      <c r="A14">
        <v>-19.607872219998747</v>
      </c>
      <c r="B14">
        <v>0</v>
      </c>
      <c r="C14">
        <v>-86.165149440819803</v>
      </c>
    </row>
    <row r="15" spans="1:3" x14ac:dyDescent="0.25">
      <c r="A15">
        <v>-18.707872219998748</v>
      </c>
      <c r="B15">
        <v>0</v>
      </c>
      <c r="C15">
        <v>-87.007906081373221</v>
      </c>
    </row>
    <row r="16" spans="1:3" x14ac:dyDescent="0.25">
      <c r="A16">
        <v>-17.80787221999875</v>
      </c>
      <c r="B16">
        <v>0</v>
      </c>
      <c r="C16">
        <v>-87.802895733806935</v>
      </c>
    </row>
    <row r="17" spans="1:3" x14ac:dyDescent="0.25">
      <c r="A17">
        <v>-16.907872219998751</v>
      </c>
      <c r="B17">
        <v>0</v>
      </c>
      <c r="C17">
        <v>-88.551343686782729</v>
      </c>
    </row>
    <row r="18" spans="1:3" x14ac:dyDescent="0.25">
      <c r="A18">
        <v>-16.007872219998752</v>
      </c>
      <c r="B18">
        <v>0</v>
      </c>
      <c r="C18">
        <v>-89.254403495932308</v>
      </c>
    </row>
    <row r="19" spans="1:3" x14ac:dyDescent="0.25">
      <c r="A19">
        <v>-15.107872219998754</v>
      </c>
      <c r="B19">
        <v>0</v>
      </c>
      <c r="C19">
        <v>-89.91315876179064</v>
      </c>
    </row>
    <row r="20" spans="1:3" x14ac:dyDescent="0.25">
      <c r="A20">
        <v>-14.207872219998755</v>
      </c>
      <c r="B20">
        <v>0</v>
      </c>
      <c r="C20">
        <v>-90.52862479991019</v>
      </c>
    </row>
    <row r="21" spans="1:3" x14ac:dyDescent="0.25">
      <c r="A21">
        <v>-13.307872219998757</v>
      </c>
      <c r="B21">
        <v>0</v>
      </c>
      <c r="C21">
        <v>-91.101750205729772</v>
      </c>
    </row>
    <row r="22" spans="1:3" x14ac:dyDescent="0.25">
      <c r="A22">
        <v>-12.407872219998758</v>
      </c>
      <c r="B22">
        <v>0</v>
      </c>
      <c r="C22">
        <v>-91.633418316610289</v>
      </c>
    </row>
    <row r="23" spans="1:3" x14ac:dyDescent="0.25">
      <c r="A23">
        <v>-11.50787221999876</v>
      </c>
      <c r="B23">
        <v>0</v>
      </c>
      <c r="C23">
        <v>-92.124448573290493</v>
      </c>
    </row>
    <row r="24" spans="1:3" x14ac:dyDescent="0.25">
      <c r="A24">
        <v>-10.607872219998761</v>
      </c>
      <c r="B24">
        <v>0</v>
      </c>
      <c r="C24">
        <v>-92.575597782861223</v>
      </c>
    </row>
    <row r="25" spans="1:3" x14ac:dyDescent="0.25">
      <c r="A25">
        <v>-9.7078722199987624</v>
      </c>
      <c r="B25">
        <v>0</v>
      </c>
      <c r="C25">
        <v>-92.987561285204634</v>
      </c>
    </row>
    <row r="26" spans="1:3" x14ac:dyDescent="0.25">
      <c r="A26">
        <v>-8.8078722199987638</v>
      </c>
      <c r="B26">
        <v>0</v>
      </c>
      <c r="C26">
        <v>-93.360974024696347</v>
      </c>
    </row>
    <row r="27" spans="1:3" x14ac:dyDescent="0.25">
      <c r="A27">
        <v>-7.9078722199987652</v>
      </c>
      <c r="B27">
        <v>0</v>
      </c>
      <c r="C27">
        <v>-93.696411528822125</v>
      </c>
    </row>
    <row r="28" spans="1:3" x14ac:dyDescent="0.25">
      <c r="A28">
        <v>-7.0078722199987666</v>
      </c>
      <c r="B28">
        <v>0</v>
      </c>
      <c r="C28">
        <v>-93.994390795217427</v>
      </c>
    </row>
    <row r="29" spans="1:3" x14ac:dyDescent="0.25">
      <c r="A29">
        <v>-6.1078722199987681</v>
      </c>
      <c r="B29">
        <v>0</v>
      </c>
      <c r="C29">
        <v>-94.255371088497142</v>
      </c>
    </row>
    <row r="30" spans="1:3" x14ac:dyDescent="0.25">
      <c r="A30">
        <v>-5.2078722199987695</v>
      </c>
      <c r="B30">
        <v>0</v>
      </c>
      <c r="C30">
        <v>-94.479754648103409</v>
      </c>
    </row>
    <row r="31" spans="1:3" x14ac:dyDescent="0.25">
      <c r="A31">
        <v>-4.3078722199987709</v>
      </c>
      <c r="B31">
        <v>0</v>
      </c>
      <c r="C31">
        <v>-94.667887308262664</v>
      </c>
    </row>
    <row r="32" spans="1:3" x14ac:dyDescent="0.25">
      <c r="A32">
        <v>-3.4078722199987723</v>
      </c>
      <c r="B32">
        <v>0</v>
      </c>
      <c r="C32">
        <v>-94.820059031007375</v>
      </c>
    </row>
    <row r="33" spans="1:3" x14ac:dyDescent="0.25">
      <c r="A33">
        <v>-2.5078722199987737</v>
      </c>
      <c r="B33">
        <v>0</v>
      </c>
      <c r="C33">
        <v>-94.936504353083947</v>
      </c>
    </row>
    <row r="34" spans="1:3" x14ac:dyDescent="0.25">
      <c r="A34">
        <v>-1.6078722199987752</v>
      </c>
      <c r="B34">
        <v>0</v>
      </c>
      <c r="C34">
        <v>-95.017402747435739</v>
      </c>
    </row>
    <row r="35" spans="1:3" x14ac:dyDescent="0.25">
      <c r="A35">
        <v>-0.70787221999877659</v>
      </c>
      <c r="B35">
        <v>0</v>
      </c>
      <c r="C35">
        <v>-95.062878899818159</v>
      </c>
    </row>
    <row r="36" spans="1:3" x14ac:dyDescent="0.25">
      <c r="A36">
        <v>0.19212778000122199</v>
      </c>
      <c r="B36">
        <v>0</v>
      </c>
      <c r="C36">
        <v>-95.073002900972284</v>
      </c>
    </row>
    <row r="37" spans="1:3" x14ac:dyDescent="0.25">
      <c r="A37">
        <v>1.0921277800012206</v>
      </c>
      <c r="B37">
        <v>0</v>
      </c>
      <c r="C37">
        <v>-95.047790354653216</v>
      </c>
    </row>
    <row r="38" spans="1:3" x14ac:dyDescent="0.25">
      <c r="A38">
        <v>1.9921277800012192</v>
      </c>
      <c r="B38">
        <v>0</v>
      </c>
      <c r="C38">
        <v>-94.987202401679497</v>
      </c>
    </row>
    <row r="39" spans="1:3" x14ac:dyDescent="0.25">
      <c r="A39">
        <v>2.8921277800012177</v>
      </c>
      <c r="B39">
        <v>0</v>
      </c>
      <c r="C39">
        <v>-94.891145660040962</v>
      </c>
    </row>
    <row r="40" spans="1:3" x14ac:dyDescent="0.25">
      <c r="A40">
        <v>3.7921277800012163</v>
      </c>
      <c r="B40">
        <v>0</v>
      </c>
      <c r="C40">
        <v>-94.759472080972387</v>
      </c>
    </row>
    <row r="41" spans="1:3" x14ac:dyDescent="0.25">
      <c r="A41">
        <v>4.6921277800012149</v>
      </c>
      <c r="B41">
        <v>0</v>
      </c>
      <c r="C41">
        <v>-94.591978720771266</v>
      </c>
    </row>
    <row r="42" spans="1:3" x14ac:dyDescent="0.25">
      <c r="A42">
        <v>5.5921277800012135</v>
      </c>
      <c r="B42">
        <v>0</v>
      </c>
      <c r="C42">
        <v>-94.388407428008179</v>
      </c>
    </row>
    <row r="43" spans="1:3" x14ac:dyDescent="0.25">
      <c r="A43">
        <v>6.492127780001212</v>
      </c>
      <c r="B43">
        <v>0</v>
      </c>
      <c r="C43">
        <v>-94.148444445647272</v>
      </c>
    </row>
    <row r="44" spans="1:3" x14ac:dyDescent="0.25">
      <c r="A44">
        <v>7.3921277800012106</v>
      </c>
      <c r="B44">
        <v>0</v>
      </c>
      <c r="C44">
        <v>-93.871719927463928</v>
      </c>
    </row>
    <row r="45" spans="1:3" x14ac:dyDescent="0.25">
      <c r="A45">
        <v>8.2921277800012092</v>
      </c>
      <c r="B45">
        <v>0</v>
      </c>
      <c r="C45">
        <v>-93.557807368014338</v>
      </c>
    </row>
    <row r="46" spans="1:3" x14ac:dyDescent="0.25">
      <c r="A46">
        <v>9.1921277800012078</v>
      </c>
      <c r="B46">
        <v>0</v>
      </c>
      <c r="C46">
        <v>-93.206222945278043</v>
      </c>
    </row>
    <row r="47" spans="1:3" x14ac:dyDescent="0.25">
      <c r="A47">
        <v>10.092127780001206</v>
      </c>
      <c r="B47">
        <v>0</v>
      </c>
      <c r="C47">
        <v>-92.816424774960666</v>
      </c>
    </row>
    <row r="48" spans="1:3" x14ac:dyDescent="0.25">
      <c r="A48">
        <v>10.992127780001205</v>
      </c>
      <c r="B48">
        <v>0</v>
      </c>
      <c r="C48">
        <v>-92.387812075307366</v>
      </c>
    </row>
    <row r="49" spans="1:3" x14ac:dyDescent="0.25">
      <c r="A49">
        <v>11.892127780001204</v>
      </c>
      <c r="B49">
        <v>0</v>
      </c>
      <c r="C49">
        <v>-91.919724241139733</v>
      </c>
    </row>
    <row r="50" spans="1:3" x14ac:dyDescent="0.25">
      <c r="A50">
        <v>12.792127780001202</v>
      </c>
      <c r="B50">
        <v>0</v>
      </c>
      <c r="C50">
        <v>-91.411439825689058</v>
      </c>
    </row>
    <row r="51" spans="1:3" x14ac:dyDescent="0.25">
      <c r="A51">
        <v>13.692127780001201</v>
      </c>
      <c r="B51">
        <v>0</v>
      </c>
      <c r="C51">
        <v>-90.862175428656599</v>
      </c>
    </row>
    <row r="52" spans="1:3" x14ac:dyDescent="0.25">
      <c r="A52">
        <v>14.592127780001199</v>
      </c>
      <c r="B52">
        <v>0</v>
      </c>
      <c r="C52">
        <v>-90.27108448878721</v>
      </c>
    </row>
    <row r="53" spans="1:3" x14ac:dyDescent="0.25">
      <c r="A53">
        <v>15.492127780001198</v>
      </c>
      <c r="B53">
        <v>0</v>
      </c>
      <c r="C53">
        <v>-89.637255979095201</v>
      </c>
    </row>
    <row r="54" spans="1:3" x14ac:dyDescent="0.25">
      <c r="A54">
        <v>16.392127780001196</v>
      </c>
      <c r="B54">
        <v>0</v>
      </c>
      <c r="C54">
        <v>-88.959713002731604</v>
      </c>
    </row>
    <row r="55" spans="1:3" x14ac:dyDescent="0.25">
      <c r="A55">
        <v>17.292127780001195</v>
      </c>
      <c r="B55">
        <v>0</v>
      </c>
      <c r="C55">
        <v>-88.237411287328513</v>
      </c>
    </row>
    <row r="56" spans="1:3" x14ac:dyDescent="0.25">
      <c r="A56">
        <v>18.192127780001194</v>
      </c>
      <c r="B56">
        <v>0</v>
      </c>
      <c r="C56">
        <v>-87.469237575500046</v>
      </c>
    </row>
    <row r="57" spans="1:3" x14ac:dyDescent="0.25">
      <c r="A57">
        <v>19.092127780001192</v>
      </c>
      <c r="B57">
        <v>0</v>
      </c>
      <c r="C57">
        <v>-86.654007909019242</v>
      </c>
    </row>
    <row r="58" spans="1:3" x14ac:dyDescent="0.25">
      <c r="A58">
        <v>19.992127780001191</v>
      </c>
      <c r="B58">
        <v>0</v>
      </c>
      <c r="C58">
        <v>-85.790465804026155</v>
      </c>
    </row>
    <row r="59" spans="1:3" x14ac:dyDescent="0.25">
      <c r="A59">
        <v>20.892127780001189</v>
      </c>
      <c r="B59">
        <v>0</v>
      </c>
      <c r="C59">
        <v>-84.877280314455064</v>
      </c>
    </row>
    <row r="60" spans="1:3" x14ac:dyDescent="0.25">
      <c r="A60">
        <v>21.792127780001188</v>
      </c>
      <c r="B60">
        <v>0</v>
      </c>
      <c r="C60">
        <v>-83.913043980695591</v>
      </c>
    </row>
    <row r="61" spans="1:3" x14ac:dyDescent="0.25">
      <c r="A61">
        <v>22.692127780001186</v>
      </c>
      <c r="B61">
        <v>0</v>
      </c>
      <c r="C61">
        <v>-82.896270660326365</v>
      </c>
    </row>
    <row r="62" spans="1:3" x14ac:dyDescent="0.25">
      <c r="A62">
        <v>23.592127780001185</v>
      </c>
      <c r="B62">
        <v>0</v>
      </c>
      <c r="C62">
        <v>-81.825393237577742</v>
      </c>
    </row>
    <row r="63" spans="1:3" x14ac:dyDescent="0.25">
      <c r="A63">
        <v>24.492127780001184</v>
      </c>
      <c r="B63">
        <v>0</v>
      </c>
      <c r="C63">
        <v>-80.698761207993172</v>
      </c>
    </row>
    <row r="64" spans="1:3" x14ac:dyDescent="0.25">
      <c r="A64">
        <v>25.392127780001182</v>
      </c>
      <c r="B64">
        <v>0</v>
      </c>
      <c r="C64">
        <v>-79.514638134566724</v>
      </c>
    </row>
    <row r="65" spans="1:3" x14ac:dyDescent="0.25">
      <c r="A65">
        <v>26.292127780001181</v>
      </c>
      <c r="B65">
        <v>0</v>
      </c>
      <c r="C65">
        <v>-78.271198971435723</v>
      </c>
    </row>
    <row r="66" spans="1:3" x14ac:dyDescent="0.25">
      <c r="A66">
        <v>27.192127780001179</v>
      </c>
      <c r="B66">
        <v>0</v>
      </c>
      <c r="C66">
        <v>-76.966527251004038</v>
      </c>
    </row>
    <row r="67" spans="1:3" x14ac:dyDescent="0.25">
      <c r="A67">
        <v>28.092127780001178</v>
      </c>
      <c r="B67">
        <v>0</v>
      </c>
      <c r="C67">
        <v>-75.598612130160021</v>
      </c>
    </row>
    <row r="68" spans="1:3" x14ac:dyDescent="0.25">
      <c r="A68">
        <v>28.992127780001177</v>
      </c>
      <c r="B68">
        <v>0</v>
      </c>
      <c r="C68">
        <v>-74.165345291037298</v>
      </c>
    </row>
    <row r="69" spans="1:3" x14ac:dyDescent="0.25">
      <c r="A69">
        <v>29.892127780001175</v>
      </c>
      <c r="B69">
        <v>0</v>
      </c>
      <c r="C69">
        <v>-72.664517691540937</v>
      </c>
    </row>
    <row r="70" spans="1:3" x14ac:dyDescent="0.25">
      <c r="A70">
        <v>30.792127780001174</v>
      </c>
      <c r="B70">
        <v>0</v>
      </c>
      <c r="C70">
        <v>-71.093816160631107</v>
      </c>
    </row>
    <row r="71" spans="1:3" x14ac:dyDescent="0.25">
      <c r="A71">
        <v>31.692127780001172</v>
      </c>
      <c r="B71">
        <v>0</v>
      </c>
      <c r="C71">
        <v>-69.450819833116768</v>
      </c>
    </row>
    <row r="72" spans="1:3" x14ac:dyDescent="0.25">
      <c r="A72">
        <v>32.592127780001171</v>
      </c>
      <c r="B72">
        <v>0</v>
      </c>
      <c r="C72">
        <v>-67.732996418463955</v>
      </c>
    </row>
    <row r="73" spans="1:3" x14ac:dyDescent="0.25">
      <c r="A73">
        <v>33.492127780001169</v>
      </c>
      <c r="B73">
        <v>0</v>
      </c>
      <c r="C73">
        <v>-65.937698297868479</v>
      </c>
    </row>
    <row r="74" spans="1:3" x14ac:dyDescent="0.25">
      <c r="A74">
        <v>34.392127780001168</v>
      </c>
      <c r="B74">
        <v>0</v>
      </c>
      <c r="C74">
        <v>-64.062158443577346</v>
      </c>
    </row>
    <row r="75" spans="1:3" x14ac:dyDescent="0.25">
      <c r="A75">
        <v>35.292127780001174</v>
      </c>
      <c r="B75">
        <v>0</v>
      </c>
      <c r="C75">
        <v>-62.103486154169275</v>
      </c>
    </row>
    <row r="76" spans="1:3" x14ac:dyDescent="0.25">
      <c r="A76">
        <v>36.192127780001165</v>
      </c>
      <c r="B76">
        <v>0</v>
      </c>
      <c r="C76">
        <v>-60.058662599221805</v>
      </c>
    </row>
    <row r="77" spans="1:3" x14ac:dyDescent="0.25">
      <c r="A77">
        <v>37.092127780001157</v>
      </c>
      <c r="B77">
        <v>0</v>
      </c>
      <c r="C77">
        <v>-57.924536166497518</v>
      </c>
    </row>
    <row r="78" spans="1:3" x14ac:dyDescent="0.25">
      <c r="A78">
        <v>37.992127780001162</v>
      </c>
      <c r="B78">
        <v>0</v>
      </c>
      <c r="C78">
        <v>-55.697817604478715</v>
      </c>
    </row>
    <row r="79" spans="1:3" x14ac:dyDescent="0.25">
      <c r="A79">
        <v>38.892127780001168</v>
      </c>
      <c r="B79">
        <v>0</v>
      </c>
      <c r="C79">
        <v>-53.375074952763597</v>
      </c>
    </row>
    <row r="80" spans="1:3" x14ac:dyDescent="0.25">
      <c r="A80">
        <v>39.792127780001159</v>
      </c>
      <c r="B80">
        <v>0</v>
      </c>
      <c r="C80">
        <v>-50.95272825251044</v>
      </c>
    </row>
    <row r="81" spans="1:3" x14ac:dyDescent="0.25">
      <c r="A81">
        <v>40.692127780001151</v>
      </c>
      <c r="B81">
        <v>0</v>
      </c>
      <c r="C81">
        <v>-48.427044028776962</v>
      </c>
    </row>
    <row r="82" spans="1:3" x14ac:dyDescent="0.25">
      <c r="A82">
        <v>41.592127780001157</v>
      </c>
      <c r="B82">
        <v>0</v>
      </c>
      <c r="C82">
        <v>-45.794129536251148</v>
      </c>
    </row>
    <row r="83" spans="1:3" x14ac:dyDescent="0.25">
      <c r="A83">
        <v>42.492127780001162</v>
      </c>
      <c r="B83">
        <v>0</v>
      </c>
      <c r="C83">
        <v>-43.049926759504515</v>
      </c>
    </row>
    <row r="84" spans="1:3" x14ac:dyDescent="0.25">
      <c r="A84">
        <v>43.392127780001154</v>
      </c>
      <c r="B84">
        <v>0</v>
      </c>
      <c r="C84">
        <v>-40.19020615852024</v>
      </c>
    </row>
    <row r="85" spans="1:3" x14ac:dyDescent="0.25">
      <c r="A85">
        <v>44.292127780001145</v>
      </c>
      <c r="B85">
        <v>0</v>
      </c>
      <c r="C85">
        <v>-37.210560149856803</v>
      </c>
    </row>
    <row r="86" spans="1:3" x14ac:dyDescent="0.25">
      <c r="A86">
        <v>45.192127780001151</v>
      </c>
      <c r="B86">
        <v>0</v>
      </c>
      <c r="C86">
        <v>-34.106396313399856</v>
      </c>
    </row>
    <row r="87" spans="1:3" x14ac:dyDescent="0.25">
      <c r="A87">
        <v>46.092127780001157</v>
      </c>
      <c r="B87">
        <v>0</v>
      </c>
      <c r="C87">
        <v>-30.872930314232036</v>
      </c>
    </row>
    <row r="88" spans="1:3" x14ac:dyDescent="0.25">
      <c r="A88">
        <v>46.992127780001148</v>
      </c>
      <c r="B88">
        <v>0</v>
      </c>
      <c r="C88">
        <v>-27.505178528711383</v>
      </c>
    </row>
    <row r="89" spans="1:3" x14ac:dyDescent="0.25">
      <c r="A89">
        <v>47.89212778000114</v>
      </c>
      <c r="B89">
        <v>0</v>
      </c>
      <c r="C89">
        <v>-23.997950363393258</v>
      </c>
    </row>
    <row r="90" spans="1:3" x14ac:dyDescent="0.25">
      <c r="A90">
        <v>48.792127780001145</v>
      </c>
      <c r="B90">
        <v>0</v>
      </c>
      <c r="C90">
        <v>-20.345840254957295</v>
      </c>
    </row>
    <row r="91" spans="1:3" x14ac:dyDescent="0.25">
      <c r="A91">
        <v>49.692127780001151</v>
      </c>
      <c r="B91">
        <v>0</v>
      </c>
      <c r="C91">
        <v>-16.543219338809294</v>
      </c>
    </row>
    <row r="92" spans="1:3" x14ac:dyDescent="0.25">
      <c r="A92">
        <v>50.592127780001142</v>
      </c>
      <c r="B92">
        <v>0</v>
      </c>
      <c r="C92">
        <v>-12.584226773516505</v>
      </c>
    </row>
    <row r="93" spans="1:3" x14ac:dyDescent="0.25">
      <c r="A93">
        <v>51.492127780001134</v>
      </c>
      <c r="B93">
        <v>0</v>
      </c>
      <c r="C93">
        <v>-8.4627607077058826</v>
      </c>
    </row>
    <row r="94" spans="1:3" x14ac:dyDescent="0.25">
      <c r="A94">
        <v>52.39212778000114</v>
      </c>
      <c r="B94">
        <v>0</v>
      </c>
      <c r="C94">
        <v>-4.172468875502048</v>
      </c>
    </row>
    <row r="95" spans="1:3" x14ac:dyDescent="0.25">
      <c r="A95">
        <v>53.292127780001145</v>
      </c>
      <c r="B95">
        <v>0</v>
      </c>
      <c r="C95">
        <v>0.29326119398886874</v>
      </c>
    </row>
    <row r="96" spans="1:3" x14ac:dyDescent="0.25">
      <c r="A96">
        <v>54.192127780001137</v>
      </c>
      <c r="B96">
        <v>0</v>
      </c>
      <c r="C96">
        <v>4.9413123682404745</v>
      </c>
    </row>
    <row r="97" spans="1:3" x14ac:dyDescent="0.25">
      <c r="A97">
        <v>55.092127780001128</v>
      </c>
      <c r="B97">
        <v>0</v>
      </c>
      <c r="C97">
        <v>9.7788485196199275</v>
      </c>
    </row>
    <row r="98" spans="1:3" x14ac:dyDescent="0.25">
      <c r="A98">
        <v>55.992127780001134</v>
      </c>
      <c r="B98">
        <v>0</v>
      </c>
      <c r="C98">
        <v>14.813325566803741</v>
      </c>
    </row>
    <row r="99" spans="1:3" x14ac:dyDescent="0.25">
      <c r="A99">
        <v>56.89212778000114</v>
      </c>
      <c r="B99">
        <v>0</v>
      </c>
      <c r="C99">
        <v>20.052502966314364</v>
      </c>
    </row>
    <row r="100" spans="1:3" x14ac:dyDescent="0.25">
      <c r="A100">
        <v>57.792127780001131</v>
      </c>
      <c r="B100">
        <v>0</v>
      </c>
      <c r="C100">
        <v>25.504455671888394</v>
      </c>
    </row>
    <row r="101" spans="1:3" x14ac:dyDescent="0.25">
      <c r="A101">
        <v>58.692127780001123</v>
      </c>
      <c r="B101">
        <v>0</v>
      </c>
      <c r="C101">
        <v>31.177586580109988</v>
      </c>
    </row>
    <row r="102" spans="1:3" x14ac:dyDescent="0.25">
      <c r="A102">
        <v>59.592127780001128</v>
      </c>
      <c r="B102">
        <v>0</v>
      </c>
      <c r="C102">
        <v>37.080639481489214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</vt:lpstr>
      <vt:lpstr>catenary_res</vt:lpstr>
      <vt:lpstr>catenary_coords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salvador vargas-ortega</cp:lastModifiedBy>
  <dcterms:created xsi:type="dcterms:W3CDTF">2015-01-25T11:31:25Z</dcterms:created>
  <dcterms:modified xsi:type="dcterms:W3CDTF">2021-02-13T11:00:42Z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88c8a80-3a15-4016-b4c2-fc12516bfa38_Enabled">
    <vt:lpwstr>True</vt:lpwstr>
  </property>
  <property fmtid="{D5CDD505-2E9C-101B-9397-08002B2CF9AE}" pid="3" name="MSIP_Label_788c8a80-3a15-4016-b4c2-fc12516bfa38_SiteId">
    <vt:lpwstr>ea80952e-a476-42d4-aaf4-5457852b0f7e</vt:lpwstr>
  </property>
  <property fmtid="{D5CDD505-2E9C-101B-9397-08002B2CF9AE}" pid="4" name="MSIP_Label_788c8a80-3a15-4016-b4c2-fc12516bfa38_Owner">
    <vt:lpwstr>Salvador.Vargas@uk.bp.com</vt:lpwstr>
  </property>
  <property fmtid="{D5CDD505-2E9C-101B-9397-08002B2CF9AE}" pid="5" name="MSIP_Label_788c8a80-3a15-4016-b4c2-fc12516bfa38_SetDate">
    <vt:lpwstr>2019-06-24T06:52:25.9870205Z</vt:lpwstr>
  </property>
  <property fmtid="{D5CDD505-2E9C-101B-9397-08002B2CF9AE}" pid="6" name="MSIP_Label_788c8a80-3a15-4016-b4c2-fc12516bfa38_Name">
    <vt:lpwstr>Public</vt:lpwstr>
  </property>
  <property fmtid="{D5CDD505-2E9C-101B-9397-08002B2CF9AE}" pid="7" name="MSIP_Label_788c8a80-3a15-4016-b4c2-fc12516bfa38_Application">
    <vt:lpwstr>Microsoft Azure Information Protection</vt:lpwstr>
  </property>
  <property fmtid="{D5CDD505-2E9C-101B-9397-08002B2CF9AE}" pid="8" name="MSIP_Label_788c8a80-3a15-4016-b4c2-fc12516bfa38_ActionId">
    <vt:lpwstr>123313b6-c33b-452c-86d9-51bc68a70637</vt:lpwstr>
  </property>
  <property fmtid="{D5CDD505-2E9C-101B-9397-08002B2CF9AE}" pid="9" name="MSIP_Label_788c8a80-3a15-4016-b4c2-fc12516bfa38_Extended_MSFT_Method">
    <vt:lpwstr>Manual</vt:lpwstr>
  </property>
  <property fmtid="{D5CDD505-2E9C-101B-9397-08002B2CF9AE}" pid="10" name="Sensitivity">
    <vt:lpwstr>Public</vt:lpwstr>
  </property>
</Properties>
</file>